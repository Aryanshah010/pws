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5"/>
    <sheet state="visible" name="Sprint Summary" sheetId="2" r:id="rId6"/>
  </sheets>
  <definedNames/>
  <calcPr/>
</workbook>
</file>

<file path=xl/sharedStrings.xml><?xml version="1.0" encoding="utf-8"?>
<sst xmlns="http://schemas.openxmlformats.org/spreadsheetml/2006/main" count="280" uniqueCount="107">
  <si>
    <t>Pathivara Website — Sprint Backlog (Sprint 1–5)</t>
  </si>
  <si>
    <t>Sprint</t>
  </si>
  <si>
    <t>Task / Backlog Item</t>
  </si>
  <si>
    <t>Category</t>
  </si>
  <si>
    <t>Priority</t>
  </si>
  <si>
    <t>Est. Points</t>
  </si>
  <si>
    <t>Status</t>
  </si>
  <si>
    <t>Sprint 1 — Foundation &amp; Auth</t>
  </si>
  <si>
    <t>Sprint 1</t>
  </si>
  <si>
    <t>Language selection screen (English/Nepali) on first launch</t>
  </si>
  <si>
    <t>Onboarding</t>
  </si>
  <si>
    <t>High</t>
  </si>
  <si>
    <t>To Do</t>
  </si>
  <si>
    <t>Phone number login page with OTP/SMS password recovery</t>
  </si>
  <si>
    <t>Auth</t>
  </si>
  <si>
    <t>Buyer registration form (name, phone, password)</t>
  </si>
  <si>
    <t>Account type selector: Household vs Shop/Bulk Buyer</t>
  </si>
  <si>
    <t>Guest browse mode — catalogue accessible without login</t>
  </si>
  <si>
    <t>Medium</t>
  </si>
  <si>
    <t>Homepage layout: Browse, Products, My Orders, Track Order CTAs</t>
  </si>
  <si>
    <t>Navigation</t>
  </si>
  <si>
    <t>My Orders link in top navigation bar</t>
  </si>
  <si>
    <t>Notification permission requested after login (not on launch)</t>
  </si>
  <si>
    <t>Low</t>
  </si>
  <si>
    <t>Sprint 2 — Product Catalogue &amp; Search</t>
  </si>
  <si>
    <t>Sprint 2</t>
  </si>
  <si>
    <t>Nepali &amp; local-alias product search (Tori Tel → mustard oil)</t>
  </si>
  <si>
    <t>Search</t>
  </si>
  <si>
    <t>Product listing cards: image, name, price, stock badge</t>
  </si>
  <si>
    <t>Catalogue</t>
  </si>
  <si>
    <t>Stock badge on every card: In Stock / Low Stock / Out of Stock</t>
  </si>
  <si>
    <t>Notify Me button on out-of-stock product pages</t>
  </si>
  <si>
    <t>Filter panel: category + unit size on listing page</t>
  </si>
  <si>
    <t>Product detail page: official photos + accurate details</t>
  </si>
  <si>
    <t>Volume discount tiers (0–9 / 10–49 / 50+) on product detail</t>
  </si>
  <si>
    <t>Structured specification table (grade, unit, pack count, shelf life)</t>
  </si>
  <si>
    <t>30-day price history sparkline on staple product pages</t>
  </si>
  <si>
    <t>Sprint 3 — Cart &amp; Checkout</t>
  </si>
  <si>
    <t>Sprint 3</t>
  </si>
  <si>
    <t>Pathivara trust/guarantee banner visible before checkout</t>
  </si>
  <si>
    <t>Cart</t>
  </si>
  <si>
    <t>Price-change alert in cart when item price updates</t>
  </si>
  <si>
    <t>Bulk discount total + final total in cart summary</t>
  </si>
  <si>
    <t>Plus/minus qty stepper on each cart row (no reload)</t>
  </si>
  <si>
    <t>Progress bar in cart: units needed to reach next discount tier</t>
  </si>
  <si>
    <t>Save cart as named Basket template</t>
  </si>
  <si>
    <t>Single-page checkout: contact, pickup slot, payment, confirmation</t>
  </si>
  <si>
    <t>Checkout</t>
  </si>
  <si>
    <t>Pre-fill saved name + phone at checkout for returning buyers</t>
  </si>
  <si>
    <t>Fixed pickup slot selector at checkout</t>
  </si>
  <si>
    <t>Checkout order summary: subtotal, discount, tax, total due</t>
  </si>
  <si>
    <t>Free-text order notes field on checkout page</t>
  </si>
  <si>
    <t>Sprint 4 — Payment, Tracking &amp; Orders</t>
  </si>
  <si>
    <t>Sprint 4</t>
  </si>
  <si>
    <t>Pay at Pickup payment method option</t>
  </si>
  <si>
    <t>Payment</t>
  </si>
  <si>
    <t>Digital Transfer / QR Payment option at checkout</t>
  </si>
  <si>
    <t>Upload payment screenshot or enter transaction ID</t>
  </si>
  <si>
    <t>"Payment Proof Submitted" state while shop verifies transfer</t>
  </si>
  <si>
    <t>Payment status badge: Pending → Confirmed after verification</t>
  </si>
  <si>
    <t>WhatsApp/SMS confirmation immediately after order placed</t>
  </si>
  <si>
    <t>Notifications</t>
  </si>
  <si>
    <t>Push notification + SMS when vendor accepts order</t>
  </si>
  <si>
    <t>SMS when order is ready for pickup</t>
  </si>
  <si>
    <t>Order tracking: Placed → Acknowledged → Ready → Collected stages</t>
  </si>
  <si>
    <t>Order Tracking</t>
  </si>
  <si>
    <t>Payment status displayed separately from order status on tracking</t>
  </si>
  <si>
    <t>My Orders: past orders with status, item summary, payment, total</t>
  </si>
  <si>
    <t>Order History</t>
  </si>
  <si>
    <t>Order Again button rebuilds past order at current prices</t>
  </si>
  <si>
    <t>PDF receipt download immediately after order confirmation</t>
  </si>
  <si>
    <t>Sprint 5 — Wholesale, Baskets, Disputes &amp; Polish</t>
  </si>
  <si>
    <t>Sprint 5</t>
  </si>
  <si>
    <t>Wholesale access request form (shop name, area, business type)</t>
  </si>
  <si>
    <t>Wholesale</t>
  </si>
  <si>
    <t>"Wholesale Request Pending" badge on buyer account page</t>
  </si>
  <si>
    <t>"Verified Wholesale Buyer" badge + wholesale pricing activated</t>
  </si>
  <si>
    <t>Bulk discounts visible on product page before adding to cart</t>
  </si>
  <si>
    <t>Load saved Basket from My Orders directly into cart</t>
  </si>
  <si>
    <t>Baskets</t>
  </si>
  <si>
    <t>Stock + price change review before Basket goes to cart</t>
  </si>
  <si>
    <t>Structured complaint/dispute flow with photo upload option</t>
  </si>
  <si>
    <t>Support</t>
  </si>
  <si>
    <t>Cross-browser + mobile responsive QA pass (all screens)</t>
  </si>
  <si>
    <t>QA &amp; Polish</t>
  </si>
  <si>
    <t>Pathivara Website — Sprint Summary</t>
  </si>
  <si>
    <t>Theme</t>
  </si>
  <si>
    <t>Sprint Goal</t>
  </si>
  <si>
    <t>Key Deliverables</t>
  </si>
  <si>
    <t>Story Points</t>
  </si>
  <si>
    <t>User Stories</t>
  </si>
  <si>
    <t>Foundation &amp; Auth</t>
  </si>
  <si>
    <t>User can register, log in, choose language, and browse as guest</t>
  </si>
  <si>
    <t>Language toggle, phone login + recovery, registration form, buyer type selector, guest browse, homepage layout, bottom nav</t>
  </si>
  <si>
    <t>Product Catalogue &amp; Search</t>
  </si>
  <si>
    <t>User can search, browse, and inspect any product including price history</t>
  </si>
  <si>
    <t>Nepali search aliases, product listing grid, stock badges, Notify Me, filter panel, product detail page, discount tiers, spec table, sparkline</t>
  </si>
  <si>
    <t>Cart &amp; Checkout</t>
  </si>
  <si>
    <t>User can manage cart and complete a full single-page checkout</t>
  </si>
  <si>
    <t>Price-change alert, bulk discount total, qty stepper, discount progress bar, save basket, single-page checkout, pickup slot selector, order summary, notes field</t>
  </si>
  <si>
    <t>Payment, Tracking &amp; Orders</t>
  </si>
  <si>
    <t>User can pay, track order progress, and view order history</t>
  </si>
  <si>
    <t>Pay at Pickup, QR/Digital Transfer, proof upload, payment status badges, WhatsApp/SMS confirmations, order tracking stepper, My Orders list, Order Again, PDF receipt</t>
  </si>
  <si>
    <t>Wholesale, Baskets &amp; Polish</t>
  </si>
  <si>
    <t>Wholesale flow complete; baskets + disputes working; site QA passed</t>
  </si>
  <si>
    <t>Wholesale request form + badges, bulk pricing for wholesale, basket load + diff review, complaint flow, cross-browser QA, accessibility audit, Lighthouse perf check, persona walkthrough</t>
  </si>
  <si>
    <t>TOTAL (5 Sprints)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</si>
</sst>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0.0"/>
      <color rgb="FF1D4ED8"/>
      <name val="Arial"/>
    </font>
    <font>
      <sz val="10.0"/>
      <color rgb="FF000000"/>
      <name val="Arial"/>
    </font>
    <font>
      <b/>
      <sz val="10.0"/>
      <color rgb="FFDC2626"/>
      <name val="Arial"/>
    </font>
    <font>
      <b/>
      <sz val="10.0"/>
      <color rgb="FF475569"/>
      <name val="Arial"/>
    </font>
    <font>
      <b/>
      <sz val="10.0"/>
      <color rgb="FFB45309"/>
      <name val="Arial"/>
    </font>
    <font>
      <b/>
      <sz val="10.0"/>
      <color rgb="FF15803D"/>
      <name val="Arial"/>
    </font>
    <font>
      <b/>
      <sz val="10.0"/>
      <color rgb="FF065F46"/>
      <name val="Arial"/>
    </font>
    <font>
      <b/>
      <sz val="10.0"/>
      <color rgb="FF92400E"/>
      <name val="Arial"/>
    </font>
    <font>
      <b/>
      <sz val="10.0"/>
      <color rgb="FF6B21A8"/>
      <name val="Arial"/>
    </font>
    <font>
      <b/>
      <sz val="10.0"/>
      <color rgb="FF9F1239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EE2E2"/>
        <bgColor rgb="FFFEE2E2"/>
      </patternFill>
    </fill>
    <fill>
      <patternFill patternType="solid">
        <fgColor rgb="FFE2E8F0"/>
        <bgColor rgb="FFE2E8F0"/>
      </patternFill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D1FAE5"/>
        <bgColor rgb="FFD1FAE5"/>
      </patternFill>
    </fill>
    <fill>
      <patternFill patternType="solid">
        <fgColor rgb="FFF3E8FF"/>
        <bgColor rgb="FFF3E8FF"/>
      </patternFill>
    </fill>
    <fill>
      <patternFill patternType="solid">
        <fgColor rgb="FFFFE4E6"/>
        <bgColor rgb="FFFFE4E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/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readingOrder="0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4" fontId="4" numFmtId="0" xfId="0" applyAlignment="1" applyBorder="1" applyFont="1">
      <alignment horizontal="center" shrinkToFit="0" vertical="center" wrapText="0"/>
    </xf>
    <xf borderId="4" fillId="5" fontId="5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7" fontId="7" numFmtId="0" xfId="0" applyAlignment="1" applyBorder="1" applyFill="1" applyFont="1">
      <alignment horizontal="center" shrinkToFit="0" vertical="center" wrapText="0"/>
    </xf>
    <xf borderId="4" fillId="8" fontId="5" numFmtId="0" xfId="0" applyAlignment="1" applyBorder="1" applyFill="1" applyFont="1">
      <alignment horizontal="left" shrinkToFit="0" vertical="center" wrapText="1"/>
    </xf>
    <xf borderId="4" fillId="8" fontId="5" numFmtId="0" xfId="0" applyAlignment="1" applyBorder="1" applyFont="1">
      <alignment horizontal="center" shrinkToFit="0" vertical="center" wrapText="0"/>
    </xf>
    <xf borderId="4" fillId="9" fontId="8" numFmtId="0" xfId="0" applyAlignment="1" applyBorder="1" applyFill="1" applyFont="1">
      <alignment horizontal="center" shrinkToFit="0" vertical="center" wrapText="0"/>
    </xf>
    <xf borderId="4" fillId="10" fontId="9" numFmtId="0" xfId="0" applyAlignment="1" applyBorder="1" applyFill="1" applyFont="1">
      <alignment horizontal="center" shrinkToFit="0" vertical="center" wrapText="0"/>
    </xf>
    <xf borderId="5" fillId="11" fontId="10" numFmtId="0" xfId="0" applyAlignment="1" applyBorder="1" applyFill="1" applyFont="1">
      <alignment horizontal="left" readingOrder="0" shrinkToFit="0" vertical="center" wrapText="0"/>
    </xf>
    <xf borderId="4" fillId="11" fontId="10" numFmtId="0" xfId="0" applyAlignment="1" applyBorder="1" applyFont="1">
      <alignment horizontal="center" shrinkToFit="0" vertical="center" wrapText="0"/>
    </xf>
    <xf borderId="5" fillId="9" fontId="11" numFmtId="0" xfId="0" applyAlignment="1" applyBorder="1" applyFont="1">
      <alignment horizontal="left" readingOrder="0" shrinkToFit="0" vertical="center" wrapText="0"/>
    </xf>
    <xf borderId="4" fillId="9" fontId="11" numFmtId="0" xfId="0" applyAlignment="1" applyBorder="1" applyFont="1">
      <alignment horizontal="center" shrinkToFit="0" vertical="center" wrapText="0"/>
    </xf>
    <xf borderId="5" fillId="12" fontId="12" numFmtId="0" xfId="0" applyAlignment="1" applyBorder="1" applyFill="1" applyFont="1">
      <alignment horizontal="left" readingOrder="0" shrinkToFit="0" vertical="center" wrapText="0"/>
    </xf>
    <xf borderId="4" fillId="12" fontId="12" numFmtId="0" xfId="0" applyAlignment="1" applyBorder="1" applyFont="1">
      <alignment horizontal="center" shrinkToFit="0" vertical="center" wrapText="0"/>
    </xf>
    <xf borderId="5" fillId="13" fontId="13" numFmtId="0" xfId="0" applyAlignment="1" applyBorder="1" applyFill="1" applyFont="1">
      <alignment horizontal="left" readingOrder="0" shrinkToFit="0" vertical="center" wrapText="0"/>
    </xf>
    <xf borderId="4" fillId="13" fontId="13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56.57"/>
    <col customWidth="1" min="3" max="3" width="18.0"/>
    <col customWidth="1" min="4" max="4" width="10.0"/>
    <col customWidth="1" min="5" max="5" width="12.0"/>
    <col customWidth="1" min="6" max="6" width="13.0"/>
    <col customWidth="1" min="7" max="23" width="8.71"/>
  </cols>
  <sheetData>
    <row r="1" ht="31.5" customHeight="1">
      <c r="A1" s="1" t="s">
        <v>0</v>
      </c>
      <c r="B1" s="2"/>
      <c r="C1" s="2"/>
      <c r="D1" s="2"/>
      <c r="E1" s="2"/>
      <c r="F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9.5" customHeight="1">
      <c r="A3" s="5" t="s">
        <v>7</v>
      </c>
      <c r="B3" s="6"/>
      <c r="C3" s="6"/>
      <c r="D3" s="6"/>
      <c r="E3" s="6"/>
      <c r="F3" s="7"/>
    </row>
    <row r="4" ht="39.75" customHeight="1">
      <c r="A4" s="8" t="s">
        <v>8</v>
      </c>
      <c r="B4" s="9" t="s">
        <v>9</v>
      </c>
      <c r="C4" s="9" t="s">
        <v>10</v>
      </c>
      <c r="D4" s="10" t="s">
        <v>11</v>
      </c>
      <c r="E4" s="11">
        <v>3.0</v>
      </c>
      <c r="F4" s="12" t="s">
        <v>12</v>
      </c>
    </row>
    <row r="5" ht="39.75" customHeight="1">
      <c r="A5" s="8" t="s">
        <v>8</v>
      </c>
      <c r="B5" s="13" t="s">
        <v>13</v>
      </c>
      <c r="C5" s="13" t="s">
        <v>14</v>
      </c>
      <c r="D5" s="10" t="s">
        <v>11</v>
      </c>
      <c r="E5" s="14">
        <v>5.0</v>
      </c>
      <c r="F5" s="12" t="s">
        <v>12</v>
      </c>
    </row>
    <row r="6" ht="39.75" customHeight="1">
      <c r="A6" s="8" t="s">
        <v>8</v>
      </c>
      <c r="B6" s="9" t="s">
        <v>15</v>
      </c>
      <c r="C6" s="9" t="s">
        <v>14</v>
      </c>
      <c r="D6" s="10" t="s">
        <v>11</v>
      </c>
      <c r="E6" s="11">
        <v>3.0</v>
      </c>
      <c r="F6" s="12" t="s">
        <v>12</v>
      </c>
    </row>
    <row r="7" ht="39.75" customHeight="1">
      <c r="A7" s="8" t="s">
        <v>8</v>
      </c>
      <c r="B7" s="13" t="s">
        <v>16</v>
      </c>
      <c r="C7" s="13" t="s">
        <v>14</v>
      </c>
      <c r="D7" s="10" t="s">
        <v>11</v>
      </c>
      <c r="E7" s="14">
        <v>2.0</v>
      </c>
      <c r="F7" s="12" t="s">
        <v>12</v>
      </c>
    </row>
    <row r="8" ht="39.75" customHeight="1">
      <c r="A8" s="8" t="s">
        <v>8</v>
      </c>
      <c r="B8" s="9" t="s">
        <v>17</v>
      </c>
      <c r="C8" s="9" t="s">
        <v>14</v>
      </c>
      <c r="D8" s="15" t="s">
        <v>18</v>
      </c>
      <c r="E8" s="11">
        <v>2.0</v>
      </c>
      <c r="F8" s="12" t="s">
        <v>12</v>
      </c>
    </row>
    <row r="9" ht="39.75" customHeight="1">
      <c r="A9" s="8" t="s">
        <v>8</v>
      </c>
      <c r="B9" s="13" t="s">
        <v>19</v>
      </c>
      <c r="C9" s="13" t="s">
        <v>20</v>
      </c>
      <c r="D9" s="10" t="s">
        <v>11</v>
      </c>
      <c r="E9" s="14">
        <v>3.0</v>
      </c>
      <c r="F9" s="12" t="s">
        <v>12</v>
      </c>
    </row>
    <row r="10" ht="39.75" customHeight="1">
      <c r="A10" s="8" t="s">
        <v>8</v>
      </c>
      <c r="B10" s="9" t="s">
        <v>21</v>
      </c>
      <c r="C10" s="9" t="s">
        <v>20</v>
      </c>
      <c r="D10" s="15" t="s">
        <v>18</v>
      </c>
      <c r="E10" s="11">
        <v>1.0</v>
      </c>
      <c r="F10" s="12" t="s">
        <v>12</v>
      </c>
    </row>
    <row r="11" ht="39.75" customHeight="1">
      <c r="A11" s="8" t="s">
        <v>8</v>
      </c>
      <c r="B11" s="13" t="s">
        <v>22</v>
      </c>
      <c r="C11" s="13" t="s">
        <v>14</v>
      </c>
      <c r="D11" s="16" t="s">
        <v>23</v>
      </c>
      <c r="E11" s="14">
        <v>1.0</v>
      </c>
      <c r="F11" s="12" t="s">
        <v>12</v>
      </c>
    </row>
    <row r="12" ht="19.5" customHeight="1">
      <c r="A12" s="17" t="s">
        <v>24</v>
      </c>
      <c r="B12" s="6"/>
      <c r="C12" s="6"/>
      <c r="D12" s="6"/>
      <c r="E12" s="6"/>
      <c r="F12" s="7"/>
    </row>
    <row r="13" ht="39.75" customHeight="1">
      <c r="A13" s="18" t="s">
        <v>25</v>
      </c>
      <c r="B13" s="13" t="s">
        <v>26</v>
      </c>
      <c r="C13" s="13" t="s">
        <v>27</v>
      </c>
      <c r="D13" s="10" t="s">
        <v>11</v>
      </c>
      <c r="E13" s="14">
        <v>5.0</v>
      </c>
      <c r="F13" s="12" t="s">
        <v>12</v>
      </c>
    </row>
    <row r="14" ht="39.75" customHeight="1">
      <c r="A14" s="18" t="s">
        <v>25</v>
      </c>
      <c r="B14" s="9" t="s">
        <v>28</v>
      </c>
      <c r="C14" s="9" t="s">
        <v>29</v>
      </c>
      <c r="D14" s="10" t="s">
        <v>11</v>
      </c>
      <c r="E14" s="11">
        <v>3.0</v>
      </c>
      <c r="F14" s="12" t="s">
        <v>12</v>
      </c>
    </row>
    <row r="15" ht="39.75" customHeight="1">
      <c r="A15" s="18" t="s">
        <v>25</v>
      </c>
      <c r="B15" s="13" t="s">
        <v>30</v>
      </c>
      <c r="C15" s="13" t="s">
        <v>29</v>
      </c>
      <c r="D15" s="10" t="s">
        <v>11</v>
      </c>
      <c r="E15" s="14">
        <v>2.0</v>
      </c>
      <c r="F15" s="12" t="s">
        <v>12</v>
      </c>
    </row>
    <row r="16" ht="39.75" customHeight="1">
      <c r="A16" s="18" t="s">
        <v>25</v>
      </c>
      <c r="B16" s="9" t="s">
        <v>31</v>
      </c>
      <c r="C16" s="9" t="s">
        <v>29</v>
      </c>
      <c r="D16" s="15" t="s">
        <v>18</v>
      </c>
      <c r="E16" s="11">
        <v>2.0</v>
      </c>
      <c r="F16" s="12" t="s">
        <v>12</v>
      </c>
    </row>
    <row r="17" ht="39.75" customHeight="1">
      <c r="A17" s="18" t="s">
        <v>25</v>
      </c>
      <c r="B17" s="13" t="s">
        <v>32</v>
      </c>
      <c r="C17" s="13" t="s">
        <v>29</v>
      </c>
      <c r="D17" s="15" t="s">
        <v>18</v>
      </c>
      <c r="E17" s="14">
        <v>3.0</v>
      </c>
      <c r="F17" s="12" t="s">
        <v>12</v>
      </c>
    </row>
    <row r="18" ht="39.75" customHeight="1">
      <c r="A18" s="18" t="s">
        <v>25</v>
      </c>
      <c r="B18" s="9" t="s">
        <v>33</v>
      </c>
      <c r="C18" s="9" t="s">
        <v>29</v>
      </c>
      <c r="D18" s="10" t="s">
        <v>11</v>
      </c>
      <c r="E18" s="11">
        <v>3.0</v>
      </c>
      <c r="F18" s="12" t="s">
        <v>12</v>
      </c>
    </row>
    <row r="19" ht="39.75" customHeight="1">
      <c r="A19" s="18" t="s">
        <v>25</v>
      </c>
      <c r="B19" s="13" t="s">
        <v>34</v>
      </c>
      <c r="C19" s="13" t="s">
        <v>29</v>
      </c>
      <c r="D19" s="10" t="s">
        <v>11</v>
      </c>
      <c r="E19" s="14">
        <v>3.0</v>
      </c>
      <c r="F19" s="12" t="s">
        <v>12</v>
      </c>
    </row>
    <row r="20" ht="39.75" customHeight="1">
      <c r="A20" s="18" t="s">
        <v>25</v>
      </c>
      <c r="B20" s="9" t="s">
        <v>35</v>
      </c>
      <c r="C20" s="9" t="s">
        <v>29</v>
      </c>
      <c r="D20" s="15" t="s">
        <v>18</v>
      </c>
      <c r="E20" s="11">
        <v>2.0</v>
      </c>
      <c r="F20" s="12" t="s">
        <v>12</v>
      </c>
    </row>
    <row r="21" ht="39.75" customHeight="1">
      <c r="A21" s="18" t="s">
        <v>25</v>
      </c>
      <c r="B21" s="13" t="s">
        <v>36</v>
      </c>
      <c r="C21" s="13" t="s">
        <v>29</v>
      </c>
      <c r="D21" s="15" t="s">
        <v>18</v>
      </c>
      <c r="E21" s="14">
        <v>3.0</v>
      </c>
      <c r="F21" s="12" t="s">
        <v>12</v>
      </c>
    </row>
    <row r="22" ht="19.5" customHeight="1">
      <c r="A22" s="19" t="s">
        <v>37</v>
      </c>
      <c r="B22" s="6"/>
      <c r="C22" s="6"/>
      <c r="D22" s="6"/>
      <c r="E22" s="6"/>
      <c r="F22" s="7"/>
    </row>
    <row r="23" ht="39.75" customHeight="1">
      <c r="A23" s="20" t="s">
        <v>38</v>
      </c>
      <c r="B23" s="13" t="s">
        <v>39</v>
      </c>
      <c r="C23" s="13" t="s">
        <v>40</v>
      </c>
      <c r="D23" s="15" t="s">
        <v>18</v>
      </c>
      <c r="E23" s="14">
        <v>1.0</v>
      </c>
      <c r="F23" s="12" t="s">
        <v>12</v>
      </c>
    </row>
    <row r="24" ht="39.75" customHeight="1">
      <c r="A24" s="20" t="s">
        <v>38</v>
      </c>
      <c r="B24" s="9" t="s">
        <v>41</v>
      </c>
      <c r="C24" s="9" t="s">
        <v>40</v>
      </c>
      <c r="D24" s="10" t="s">
        <v>11</v>
      </c>
      <c r="E24" s="11">
        <v>3.0</v>
      </c>
      <c r="F24" s="12" t="s">
        <v>12</v>
      </c>
    </row>
    <row r="25" ht="39.75" customHeight="1">
      <c r="A25" s="20" t="s">
        <v>38</v>
      </c>
      <c r="B25" s="13" t="s">
        <v>42</v>
      </c>
      <c r="C25" s="13" t="s">
        <v>40</v>
      </c>
      <c r="D25" s="10" t="s">
        <v>11</v>
      </c>
      <c r="E25" s="14">
        <v>2.0</v>
      </c>
      <c r="F25" s="12" t="s">
        <v>12</v>
      </c>
    </row>
    <row r="26" ht="39.75" customHeight="1">
      <c r="A26" s="20" t="s">
        <v>38</v>
      </c>
      <c r="B26" s="9" t="s">
        <v>43</v>
      </c>
      <c r="C26" s="9" t="s">
        <v>40</v>
      </c>
      <c r="D26" s="10" t="s">
        <v>11</v>
      </c>
      <c r="E26" s="11">
        <v>2.0</v>
      </c>
      <c r="F26" s="12" t="s">
        <v>12</v>
      </c>
    </row>
    <row r="27" ht="39.75" customHeight="1">
      <c r="A27" s="20" t="s">
        <v>38</v>
      </c>
      <c r="B27" s="13" t="s">
        <v>44</v>
      </c>
      <c r="C27" s="13" t="s">
        <v>40</v>
      </c>
      <c r="D27" s="15" t="s">
        <v>18</v>
      </c>
      <c r="E27" s="14">
        <v>2.0</v>
      </c>
      <c r="F27" s="12" t="s">
        <v>12</v>
      </c>
    </row>
    <row r="28" ht="39.75" customHeight="1">
      <c r="A28" s="20" t="s">
        <v>38</v>
      </c>
      <c r="B28" s="9" t="s">
        <v>45</v>
      </c>
      <c r="C28" s="9" t="s">
        <v>40</v>
      </c>
      <c r="D28" s="15" t="s">
        <v>18</v>
      </c>
      <c r="E28" s="11">
        <v>3.0</v>
      </c>
      <c r="F28" s="12" t="s">
        <v>12</v>
      </c>
    </row>
    <row r="29" ht="39.75" customHeight="1">
      <c r="A29" s="20" t="s">
        <v>38</v>
      </c>
      <c r="B29" s="13" t="s">
        <v>46</v>
      </c>
      <c r="C29" s="13" t="s">
        <v>47</v>
      </c>
      <c r="D29" s="10" t="s">
        <v>11</v>
      </c>
      <c r="E29" s="14">
        <v>5.0</v>
      </c>
      <c r="F29" s="12" t="s">
        <v>12</v>
      </c>
    </row>
    <row r="30" ht="39.75" customHeight="1">
      <c r="A30" s="20" t="s">
        <v>38</v>
      </c>
      <c r="B30" s="9" t="s">
        <v>48</v>
      </c>
      <c r="C30" s="9" t="s">
        <v>47</v>
      </c>
      <c r="D30" s="15" t="s">
        <v>18</v>
      </c>
      <c r="E30" s="11">
        <v>1.0</v>
      </c>
      <c r="F30" s="12" t="s">
        <v>12</v>
      </c>
    </row>
    <row r="31" ht="39.75" customHeight="1">
      <c r="A31" s="20" t="s">
        <v>38</v>
      </c>
      <c r="B31" s="13" t="s">
        <v>49</v>
      </c>
      <c r="C31" s="13" t="s">
        <v>47</v>
      </c>
      <c r="D31" s="10" t="s">
        <v>11</v>
      </c>
      <c r="E31" s="14">
        <v>2.0</v>
      </c>
      <c r="F31" s="12" t="s">
        <v>12</v>
      </c>
    </row>
    <row r="32" ht="39.75" customHeight="1">
      <c r="A32" s="20" t="s">
        <v>38</v>
      </c>
      <c r="B32" s="9" t="s">
        <v>50</v>
      </c>
      <c r="C32" s="9" t="s">
        <v>47</v>
      </c>
      <c r="D32" s="10" t="s">
        <v>11</v>
      </c>
      <c r="E32" s="11">
        <v>2.0</v>
      </c>
      <c r="F32" s="12" t="s">
        <v>12</v>
      </c>
    </row>
    <row r="33" ht="39.75" customHeight="1">
      <c r="A33" s="20" t="s">
        <v>38</v>
      </c>
      <c r="B33" s="13" t="s">
        <v>51</v>
      </c>
      <c r="C33" s="13" t="s">
        <v>47</v>
      </c>
      <c r="D33" s="16" t="s">
        <v>23</v>
      </c>
      <c r="E33" s="14">
        <v>1.0</v>
      </c>
      <c r="F33" s="12" t="s">
        <v>12</v>
      </c>
    </row>
    <row r="34" ht="19.5" customHeight="1">
      <c r="A34" s="21" t="s">
        <v>52</v>
      </c>
      <c r="B34" s="6"/>
      <c r="C34" s="6"/>
      <c r="D34" s="6"/>
      <c r="E34" s="6"/>
      <c r="F34" s="7"/>
    </row>
    <row r="35" ht="39.75" customHeight="1">
      <c r="A35" s="22" t="s">
        <v>53</v>
      </c>
      <c r="B35" s="13" t="s">
        <v>54</v>
      </c>
      <c r="C35" s="13" t="s">
        <v>55</v>
      </c>
      <c r="D35" s="10" t="s">
        <v>11</v>
      </c>
      <c r="E35" s="14">
        <v>2.0</v>
      </c>
      <c r="F35" s="12" t="s">
        <v>12</v>
      </c>
    </row>
    <row r="36" ht="39.75" customHeight="1">
      <c r="A36" s="22" t="s">
        <v>53</v>
      </c>
      <c r="B36" s="9" t="s">
        <v>56</v>
      </c>
      <c r="C36" s="9" t="s">
        <v>55</v>
      </c>
      <c r="D36" s="10" t="s">
        <v>11</v>
      </c>
      <c r="E36" s="11">
        <v>2.0</v>
      </c>
      <c r="F36" s="12" t="s">
        <v>12</v>
      </c>
    </row>
    <row r="37" ht="39.75" customHeight="1">
      <c r="A37" s="22" t="s">
        <v>53</v>
      </c>
      <c r="B37" s="13" t="s">
        <v>57</v>
      </c>
      <c r="C37" s="13" t="s">
        <v>55</v>
      </c>
      <c r="D37" s="10" t="s">
        <v>11</v>
      </c>
      <c r="E37" s="14">
        <v>3.0</v>
      </c>
      <c r="F37" s="12" t="s">
        <v>12</v>
      </c>
    </row>
    <row r="38" ht="39.75" customHeight="1">
      <c r="A38" s="22" t="s">
        <v>53</v>
      </c>
      <c r="B38" s="9" t="s">
        <v>58</v>
      </c>
      <c r="C38" s="9" t="s">
        <v>55</v>
      </c>
      <c r="D38" s="15" t="s">
        <v>18</v>
      </c>
      <c r="E38" s="11">
        <v>2.0</v>
      </c>
      <c r="F38" s="12" t="s">
        <v>12</v>
      </c>
    </row>
    <row r="39" ht="39.75" customHeight="1">
      <c r="A39" s="22" t="s">
        <v>53</v>
      </c>
      <c r="B39" s="13" t="s">
        <v>59</v>
      </c>
      <c r="C39" s="13" t="s">
        <v>55</v>
      </c>
      <c r="D39" s="15" t="s">
        <v>18</v>
      </c>
      <c r="E39" s="14">
        <v>2.0</v>
      </c>
      <c r="F39" s="12" t="s">
        <v>12</v>
      </c>
    </row>
    <row r="40" ht="39.75" customHeight="1">
      <c r="A40" s="22" t="s">
        <v>53</v>
      </c>
      <c r="B40" s="9" t="s">
        <v>60</v>
      </c>
      <c r="C40" s="9" t="s">
        <v>61</v>
      </c>
      <c r="D40" s="10" t="s">
        <v>11</v>
      </c>
      <c r="E40" s="11">
        <v>3.0</v>
      </c>
      <c r="F40" s="12" t="s">
        <v>12</v>
      </c>
    </row>
    <row r="41" ht="39.75" customHeight="1">
      <c r="A41" s="22" t="s">
        <v>53</v>
      </c>
      <c r="B41" s="13" t="s">
        <v>62</v>
      </c>
      <c r="C41" s="13" t="s">
        <v>61</v>
      </c>
      <c r="D41" s="15" t="s">
        <v>18</v>
      </c>
      <c r="E41" s="14">
        <v>2.0</v>
      </c>
      <c r="F41" s="12" t="s">
        <v>12</v>
      </c>
    </row>
    <row r="42" ht="39.75" customHeight="1">
      <c r="A42" s="22" t="s">
        <v>53</v>
      </c>
      <c r="B42" s="9" t="s">
        <v>63</v>
      </c>
      <c r="C42" s="9" t="s">
        <v>61</v>
      </c>
      <c r="D42" s="10" t="s">
        <v>11</v>
      </c>
      <c r="E42" s="11">
        <v>2.0</v>
      </c>
      <c r="F42" s="12" t="s">
        <v>12</v>
      </c>
    </row>
    <row r="43" ht="39.75" customHeight="1">
      <c r="A43" s="22" t="s">
        <v>53</v>
      </c>
      <c r="B43" s="13" t="s">
        <v>64</v>
      </c>
      <c r="C43" s="13" t="s">
        <v>65</v>
      </c>
      <c r="D43" s="10" t="s">
        <v>11</v>
      </c>
      <c r="E43" s="14">
        <v>3.0</v>
      </c>
      <c r="F43" s="12" t="s">
        <v>12</v>
      </c>
    </row>
    <row r="44" ht="39.75" customHeight="1">
      <c r="A44" s="22" t="s">
        <v>53</v>
      </c>
      <c r="B44" s="9" t="s">
        <v>66</v>
      </c>
      <c r="C44" s="9" t="s">
        <v>65</v>
      </c>
      <c r="D44" s="15" t="s">
        <v>18</v>
      </c>
      <c r="E44" s="11">
        <v>1.0</v>
      </c>
      <c r="F44" s="12" t="s">
        <v>12</v>
      </c>
    </row>
    <row r="45" ht="39.75" customHeight="1">
      <c r="A45" s="22" t="s">
        <v>53</v>
      </c>
      <c r="B45" s="13" t="s">
        <v>67</v>
      </c>
      <c r="C45" s="13" t="s">
        <v>68</v>
      </c>
      <c r="D45" s="10" t="s">
        <v>11</v>
      </c>
      <c r="E45" s="14">
        <v>3.0</v>
      </c>
      <c r="F45" s="12" t="s">
        <v>12</v>
      </c>
    </row>
    <row r="46" ht="39.75" customHeight="1">
      <c r="A46" s="22" t="s">
        <v>53</v>
      </c>
      <c r="B46" s="9" t="s">
        <v>69</v>
      </c>
      <c r="C46" s="9" t="s">
        <v>68</v>
      </c>
      <c r="D46" s="15" t="s">
        <v>18</v>
      </c>
      <c r="E46" s="11">
        <v>2.0</v>
      </c>
      <c r="F46" s="12" t="s">
        <v>12</v>
      </c>
    </row>
    <row r="47" ht="39.75" customHeight="1">
      <c r="A47" s="22" t="s">
        <v>53</v>
      </c>
      <c r="B47" s="13" t="s">
        <v>70</v>
      </c>
      <c r="C47" s="13" t="s">
        <v>68</v>
      </c>
      <c r="D47" s="15" t="s">
        <v>18</v>
      </c>
      <c r="E47" s="14">
        <v>3.0</v>
      </c>
      <c r="F47" s="12" t="s">
        <v>12</v>
      </c>
    </row>
    <row r="48" ht="19.5" customHeight="1">
      <c r="A48" s="23" t="s">
        <v>71</v>
      </c>
      <c r="B48" s="6"/>
      <c r="C48" s="6"/>
      <c r="D48" s="6"/>
      <c r="E48" s="6"/>
      <c r="F48" s="7"/>
    </row>
    <row r="49" ht="39.75" customHeight="1">
      <c r="A49" s="24" t="s">
        <v>72</v>
      </c>
      <c r="B49" s="13" t="s">
        <v>73</v>
      </c>
      <c r="C49" s="13" t="s">
        <v>74</v>
      </c>
      <c r="D49" s="10" t="s">
        <v>11</v>
      </c>
      <c r="E49" s="14">
        <v>3.0</v>
      </c>
      <c r="F49" s="12" t="s">
        <v>12</v>
      </c>
    </row>
    <row r="50" ht="39.75" customHeight="1">
      <c r="A50" s="24" t="s">
        <v>72</v>
      </c>
      <c r="B50" s="9" t="s">
        <v>75</v>
      </c>
      <c r="C50" s="9" t="s">
        <v>74</v>
      </c>
      <c r="D50" s="15" t="s">
        <v>18</v>
      </c>
      <c r="E50" s="11">
        <v>1.0</v>
      </c>
      <c r="F50" s="12" t="s">
        <v>12</v>
      </c>
    </row>
    <row r="51" ht="39.75" customHeight="1">
      <c r="A51" s="24" t="s">
        <v>72</v>
      </c>
      <c r="B51" s="13" t="s">
        <v>76</v>
      </c>
      <c r="C51" s="13" t="s">
        <v>74</v>
      </c>
      <c r="D51" s="10" t="s">
        <v>11</v>
      </c>
      <c r="E51" s="14">
        <v>2.0</v>
      </c>
      <c r="F51" s="12" t="s">
        <v>12</v>
      </c>
    </row>
    <row r="52" ht="39.75" customHeight="1">
      <c r="A52" s="24" t="s">
        <v>72</v>
      </c>
      <c r="B52" s="9" t="s">
        <v>77</v>
      </c>
      <c r="C52" s="9" t="s">
        <v>74</v>
      </c>
      <c r="D52" s="15" t="s">
        <v>18</v>
      </c>
      <c r="E52" s="11">
        <v>2.0</v>
      </c>
      <c r="F52" s="12" t="s">
        <v>12</v>
      </c>
    </row>
    <row r="53" ht="39.75" customHeight="1">
      <c r="A53" s="24" t="s">
        <v>72</v>
      </c>
      <c r="B53" s="13" t="s">
        <v>78</v>
      </c>
      <c r="C53" s="13" t="s">
        <v>79</v>
      </c>
      <c r="D53" s="15" t="s">
        <v>18</v>
      </c>
      <c r="E53" s="14">
        <v>2.0</v>
      </c>
      <c r="F53" s="12" t="s">
        <v>12</v>
      </c>
    </row>
    <row r="54" ht="39.75" customHeight="1">
      <c r="A54" s="24" t="s">
        <v>72</v>
      </c>
      <c r="B54" s="9" t="s">
        <v>80</v>
      </c>
      <c r="C54" s="9" t="s">
        <v>79</v>
      </c>
      <c r="D54" s="15" t="s">
        <v>18</v>
      </c>
      <c r="E54" s="11">
        <v>2.0</v>
      </c>
      <c r="F54" s="12" t="s">
        <v>12</v>
      </c>
    </row>
    <row r="55" ht="39.75" customHeight="1">
      <c r="A55" s="24" t="s">
        <v>72</v>
      </c>
      <c r="B55" s="13" t="s">
        <v>81</v>
      </c>
      <c r="C55" s="13" t="s">
        <v>82</v>
      </c>
      <c r="D55" s="15" t="s">
        <v>18</v>
      </c>
      <c r="E55" s="14">
        <v>3.0</v>
      </c>
      <c r="F55" s="12" t="s">
        <v>12</v>
      </c>
    </row>
    <row r="56" ht="39.75" customHeight="1">
      <c r="A56" s="24" t="s">
        <v>72</v>
      </c>
      <c r="B56" s="9" t="s">
        <v>83</v>
      </c>
      <c r="C56" s="9" t="s">
        <v>84</v>
      </c>
      <c r="D56" s="10" t="s">
        <v>11</v>
      </c>
      <c r="E56" s="11">
        <v>3.0</v>
      </c>
      <c r="F56" s="12" t="s">
        <v>12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">
    <mergeCell ref="A1:F1"/>
    <mergeCell ref="A3:F3"/>
    <mergeCell ref="A12:F12"/>
    <mergeCell ref="A22:F22"/>
    <mergeCell ref="A34:F34"/>
    <mergeCell ref="A48:F4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44.0"/>
    <col customWidth="1" min="4" max="4" width="52.0"/>
    <col customWidth="1" min="5" max="6" width="14.0"/>
    <col customWidth="1" min="7" max="25" width="8.71"/>
  </cols>
  <sheetData>
    <row r="1" ht="31.5" customHeight="1">
      <c r="A1" s="1" t="s">
        <v>85</v>
      </c>
      <c r="B1" s="2"/>
      <c r="C1" s="2"/>
      <c r="D1" s="2"/>
      <c r="E1" s="2"/>
      <c r="F1" s="3"/>
    </row>
    <row r="2" ht="21.75" customHeight="1">
      <c r="A2" s="4" t="s">
        <v>1</v>
      </c>
      <c r="B2" s="4" t="s">
        <v>86</v>
      </c>
      <c r="C2" s="4" t="s">
        <v>87</v>
      </c>
      <c r="D2" s="4" t="s">
        <v>88</v>
      </c>
      <c r="E2" s="4" t="s">
        <v>89</v>
      </c>
      <c r="F2" s="4" t="s">
        <v>90</v>
      </c>
    </row>
    <row r="3" ht="60.0" customHeight="1">
      <c r="A3" s="8">
        <v>1.0</v>
      </c>
      <c r="B3" s="9" t="s">
        <v>91</v>
      </c>
      <c r="C3" s="9" t="s">
        <v>92</v>
      </c>
      <c r="D3" s="9" t="s">
        <v>93</v>
      </c>
      <c r="E3" s="11">
        <v>8.0</v>
      </c>
      <c r="F3" s="11">
        <v>8.0</v>
      </c>
    </row>
    <row r="4" ht="60.0" customHeight="1">
      <c r="A4" s="18">
        <v>2.0</v>
      </c>
      <c r="B4" s="9" t="s">
        <v>94</v>
      </c>
      <c r="C4" s="9" t="s">
        <v>95</v>
      </c>
      <c r="D4" s="9" t="s">
        <v>96</v>
      </c>
      <c r="E4" s="11">
        <v>26.0</v>
      </c>
      <c r="F4" s="11">
        <v>9.0</v>
      </c>
    </row>
    <row r="5" ht="60.0" customHeight="1">
      <c r="A5" s="20">
        <v>3.0</v>
      </c>
      <c r="B5" s="9" t="s">
        <v>97</v>
      </c>
      <c r="C5" s="9" t="s">
        <v>98</v>
      </c>
      <c r="D5" s="9" t="s">
        <v>99</v>
      </c>
      <c r="E5" s="11">
        <v>23.0</v>
      </c>
      <c r="F5" s="11">
        <v>9.0</v>
      </c>
    </row>
    <row r="6" ht="60.0" customHeight="1">
      <c r="A6" s="22">
        <v>4.0</v>
      </c>
      <c r="B6" s="9" t="s">
        <v>100</v>
      </c>
      <c r="C6" s="9" t="s">
        <v>101</v>
      </c>
      <c r="D6" s="9" t="s">
        <v>102</v>
      </c>
      <c r="E6" s="11">
        <v>27.0</v>
      </c>
      <c r="F6" s="11">
        <v>13.0</v>
      </c>
    </row>
    <row r="7" ht="60.0" customHeight="1">
      <c r="A7" s="24">
        <v>5.0</v>
      </c>
      <c r="B7" s="9" t="s">
        <v>103</v>
      </c>
      <c r="C7" s="9" t="s">
        <v>104</v>
      </c>
      <c r="D7" s="9" t="s">
        <v>105</v>
      </c>
      <c r="E7" s="11">
        <v>24.0</v>
      </c>
      <c r="F7" s="11">
        <v>10.0</v>
      </c>
    </row>
    <row r="8" ht="21.75" customHeight="1">
      <c r="A8" s="25" t="s">
        <v>106</v>
      </c>
      <c r="B8" s="6"/>
      <c r="C8" s="6"/>
      <c r="D8" s="7"/>
      <c r="E8" s="26">
        <f t="shared" ref="E8:F8" si="1">SUM(E3:E7)</f>
        <v>108</v>
      </c>
      <c r="F8" s="26">
        <f t="shared" si="1"/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8:D8"/>
  </mergeCells>
  <printOptions/>
  <pageMargins bottom="1.0" footer="0.0" header="0.0" left="0.75" right="0.75" top="1.0"/>
  <pageSetup paperSize="9" orientation="portrait"/>
  <drawing r:id="rId1"/>
</worksheet>
</file>